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nisha\Downloads\"/>
    </mc:Choice>
  </mc:AlternateContent>
  <xr:revisionPtr revIDLastSave="0" documentId="13_ncr:1_{6D6C1EB0-C65E-4515-9618-E0E5D86F2CB4}" xr6:coauthVersionLast="47" xr6:coauthVersionMax="47" xr10:uidLastSave="{00000000-0000-0000-0000-000000000000}"/>
  <bookViews>
    <workbookView xWindow="-108" yWindow="-108" windowWidth="30936" windowHeight="19416"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<sst xmlns="http://schemas.openxmlformats.org/spreadsheetml/2006/main" count="16269" uniqueCount="53">
  <si>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</si>
  <si>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</si>
  <si>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</si>
  <si>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</si>
  <si>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</si>
  <si>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</si>
  <si>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</si>
  <si>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</si>
  <si>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</si>
  <si>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</si>
  <si>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</si>
  <si>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</si>
  <si>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</si>
  <si>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</si>
  <si>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</si>
  <si>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</si>
  <si>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</si>
  <si>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</si>
  <si>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</si>
  <si>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</si>
  <si>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</si>
  <si>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</si>
  <si>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</si>
  <si>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</si>
  <si>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</si>
  <si>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</si>
  <si>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</si>
  <si>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</si>
  <si>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</si>
  <si>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</si>
  <si>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</si>
  <si>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</si>
  <si>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</si>
  <si>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</si>
  <si>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</si>
  <si>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</si>
  <si>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</si>
  <si>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</si>
  <si>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</si>
  <si>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</si>
  <si>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</si>
  <si>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</si>
  <si>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</si>
  <si>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</si>
  <si>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</si>
  <si>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Middle Aged</t>
  </si>
  <si>
    <t>Adolscent</t>
  </si>
  <si>
    <t>Old</t>
  </si>
  <si>
    <t>Count of Purchased Bike</t>
  </si>
  <si>
    <t>More than 10 Miles</t>
  </si>
  <si>
    <t>BIKE SALES DASHBOARD</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</si>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</sst>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5"/>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3"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
      <numFmt numFmtId="168" formatCode="#,##0.0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2012-445A-A20E-72E60B37CDF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4-2012-445A-A20E-72E60B37CDFE}"/>
            </c:ext>
          </c:extLst>
        </c:ser>
        <c:dLbls>
          <c:showLegendKey val="0"/>
          <c:showVal val="0"/>
          <c:showCatName val="0"/>
          <c:showSerName val="0"/>
          <c:showPercent val="0"/>
          <c:showBubbleSize val="0"/>
        </c:dLbls>
        <c:gapWidth val="219"/>
        <c:overlap val="-27"/>
        <c:axId val="1930079615"/>
        <c:axId val="1930065215"/>
      </c:barChart>
      <c:catAx>
        <c:axId val="19300796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215"/>
        <c:crosses val="autoZero"/>
        <c:auto val="1"/>
        <c:lblAlgn val="ctr"/>
        <c:lblOffset val="100"/>
        <c:noMultiLvlLbl val="0"/>
      </c:catAx>
      <c:valAx>
        <c:axId val="1930065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79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7C-4CDF-9A18-497F57D135A9}"/>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7C-4CDF-9A18-497F57D135A9}"/>
            </c:ext>
          </c:extLst>
        </c:ser>
        <c:dLbls>
          <c:showLegendKey val="0"/>
          <c:showVal val="0"/>
          <c:showCatName val="0"/>
          <c:showSerName val="0"/>
          <c:showPercent val="0"/>
          <c:showBubbleSize val="0"/>
        </c:dLbls>
        <c:smooth val="0"/>
        <c:axId val="241514991"/>
        <c:axId val="241514511"/>
      </c:lineChart>
      <c:catAx>
        <c:axId val="24151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14511"/>
        <c:crosses val="autoZero"/>
        <c:auto val="1"/>
        <c:lblAlgn val="ctr"/>
        <c:lblOffset val="100"/>
        <c:noMultiLvlLbl val="0"/>
      </c:catAx>
      <c:valAx>
        <c:axId val="24151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1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Brakcets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Adolscent</c:v>
                </c:pt>
                <c:pt idx="1">
                  <c:v>Middle Aged</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D58-44D7-96C0-739D08C98FCF}"/>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Adolscent</c:v>
                </c:pt>
                <c:pt idx="1">
                  <c:v>Middle Aged</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D58-44D7-96C0-739D08C98FCF}"/>
            </c:ext>
          </c:extLst>
        </c:ser>
        <c:dLbls>
          <c:showLegendKey val="0"/>
          <c:showVal val="0"/>
          <c:showCatName val="0"/>
          <c:showSerName val="0"/>
          <c:showPercent val="0"/>
          <c:showBubbleSize val="0"/>
        </c:dLbls>
        <c:marker val="1"/>
        <c:smooth val="0"/>
        <c:axId val="241466031"/>
        <c:axId val="241467471"/>
      </c:lineChart>
      <c:catAx>
        <c:axId val="24146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67471"/>
        <c:crosses val="autoZero"/>
        <c:auto val="1"/>
        <c:lblAlgn val="ctr"/>
        <c:lblOffset val="100"/>
        <c:noMultiLvlLbl val="0"/>
      </c:catAx>
      <c:valAx>
        <c:axId val="24146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CBBC-492D-923E-683BB5413E4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BBC-492D-923E-683BB5413E42}"/>
            </c:ext>
          </c:extLst>
        </c:ser>
        <c:dLbls>
          <c:showLegendKey val="0"/>
          <c:showVal val="0"/>
          <c:showCatName val="0"/>
          <c:showSerName val="0"/>
          <c:showPercent val="0"/>
          <c:showBubbleSize val="0"/>
        </c:dLbls>
        <c:gapWidth val="219"/>
        <c:overlap val="-27"/>
        <c:axId val="1930079615"/>
        <c:axId val="1930065215"/>
      </c:barChart>
      <c:catAx>
        <c:axId val="19300796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65215"/>
        <c:crosses val="autoZero"/>
        <c:auto val="1"/>
        <c:lblAlgn val="ctr"/>
        <c:lblOffset val="100"/>
        <c:noMultiLvlLbl val="0"/>
      </c:catAx>
      <c:valAx>
        <c:axId val="1930065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079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501-4B06-ACEF-EC85D1D0EEAD}"/>
            </c:ext>
          </c:extLst>
        </c:ser>
        <c:ser>
          <c:idx val="1"/>
          <c:order val="1"/>
          <c:tx>
            <c:strRef>
              <c:f>'pivot table'!$C$28:$C$29</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501-4B06-ACEF-EC85D1D0EEAD}"/>
            </c:ext>
          </c:extLst>
        </c:ser>
        <c:dLbls>
          <c:showLegendKey val="0"/>
          <c:showVal val="0"/>
          <c:showCatName val="0"/>
          <c:showSerName val="0"/>
          <c:showPercent val="0"/>
          <c:showBubbleSize val="0"/>
        </c:dLbls>
        <c:marker val="1"/>
        <c:smooth val="0"/>
        <c:axId val="241514991"/>
        <c:axId val="241514511"/>
      </c:lineChart>
      <c:catAx>
        <c:axId val="2415149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41514511"/>
        <c:crosses val="autoZero"/>
        <c:auto val="1"/>
        <c:lblAlgn val="ctr"/>
        <c:lblOffset val="100"/>
        <c:noMultiLvlLbl val="0"/>
      </c:catAx>
      <c:valAx>
        <c:axId val="241514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1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Brakcets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Adolscent</c:v>
                </c:pt>
                <c:pt idx="1">
                  <c:v>Middle Aged</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5C5-4AFD-BE7A-C7F7132EB98C}"/>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Adolscent</c:v>
                </c:pt>
                <c:pt idx="1">
                  <c:v>Middle Aged</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5C5-4AFD-BE7A-C7F7132EB98C}"/>
            </c:ext>
          </c:extLst>
        </c:ser>
        <c:dLbls>
          <c:showLegendKey val="0"/>
          <c:showVal val="0"/>
          <c:showCatName val="0"/>
          <c:showSerName val="0"/>
          <c:showPercent val="0"/>
          <c:showBubbleSize val="0"/>
        </c:dLbls>
        <c:marker val="1"/>
        <c:smooth val="0"/>
        <c:axId val="241466031"/>
        <c:axId val="241467471"/>
      </c:lineChart>
      <c:catAx>
        <c:axId val="241466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67471"/>
        <c:crosses val="autoZero"/>
        <c:auto val="1"/>
        <c:lblAlgn val="ctr"/>
        <c:lblOffset val="100"/>
        <c:noMultiLvlLbl val="0"/>
      </c:catAx>
      <c:valAx>
        <c:axId val="24146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4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13774</xdr:colOff>
      <xdr:row>2</xdr:row>
      <xdr:rowOff>13481</xdr:rowOff>
    </xdr:from>
    <xdr:to>
      <xdr:col>13</xdr:col>
      <xdr:colOff>0</xdr:colOff>
      <xdr:row>18</xdr:row>
      <xdr:rowOff>5862</xdr:rowOff>
    </xdr:to>
    <xdr:graphicFrame macro="">
      <xdr:nvGraphicFramePr>
        <xdr:cNvPr id="2" name="Chart 1">
          <a:extLst>
            <a:ext uri="{FF2B5EF4-FFF2-40B4-BE49-F238E27FC236}">
              <a16:creationId xmlns:a16="http://schemas.microsoft.com/office/drawing/2014/main" id="{14B4EAD1-145B-D89C-7931-0732E3021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5861</xdr:colOff>
      <xdr:row>27</xdr:row>
      <xdr:rowOff>2930</xdr:rowOff>
    </xdr:from>
    <xdr:to>
      <xdr:col>12</xdr:col>
      <xdr:colOff>0</xdr:colOff>
      <xdr:row>41</xdr:row>
      <xdr:rowOff>169985</xdr:rowOff>
    </xdr:to>
    <xdr:graphicFrame macro="">
      <xdr:nvGraphicFramePr>
        <xdr:cNvPr id="3" name="Chart 2">
          <a:extLst>
            <a:ext uri="{FF2B5EF4-FFF2-40B4-BE49-F238E27FC236}">
              <a16:creationId xmlns:a16="http://schemas.microsoft.com/office/drawing/2014/main" id="{7CC45AAA-ED26-91C7-29A2-88FB42B6B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603738</xdr:colOff>
      <xdr:row>45</xdr:row>
      <xdr:rowOff>172915</xdr:rowOff>
    </xdr:from>
    <xdr:to>
      <xdr:col>12</xdr:col>
      <xdr:colOff>298938</xdr:colOff>
      <xdr:row>61</xdr:row>
      <xdr:rowOff>8792</xdr:rowOff>
    </xdr:to>
    <xdr:graphicFrame macro="">
      <xdr:nvGraphicFramePr>
        <xdr:cNvPr id="4" name="Chart 3">
          <a:extLst>
            <a:ext uri="{FF2B5EF4-FFF2-40B4-BE49-F238E27FC236}">
              <a16:creationId xmlns:a16="http://schemas.microsoft.com/office/drawing/2014/main" id="{040D6B23-7927-0900-51E8-06B1DF15E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6</xdr:row>
      <xdr:rowOff>12876</xdr:rowOff>
    </xdr:from>
    <xdr:to>
      <xdr:col>8</xdr:col>
      <xdr:colOff>363963</xdr:colOff>
      <xdr:row>19</xdr:row>
      <xdr:rowOff>21020</xdr:rowOff>
    </xdr:to>
    <xdr:graphicFrame macro="">
      <xdr:nvGraphicFramePr>
        <xdr:cNvPr id="2" name="Chart 1">
          <a:extLst>
            <a:ext uri="{FF2B5EF4-FFF2-40B4-BE49-F238E27FC236}">
              <a16:creationId xmlns:a16="http://schemas.microsoft.com/office/drawing/2014/main" id="{9D77925F-078C-4B19-B055-8E64F98E3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464819</xdr:colOff>
      <xdr:row>19</xdr:row>
      <xdr:rowOff>19443</xdr:rowOff>
    </xdr:from>
    <xdr:to>
      <xdr:col>14</xdr:col>
      <xdr:colOff>596704</xdr:colOff>
      <xdr:row>34</xdr:row>
      <xdr:rowOff>168165</xdr:rowOff>
    </xdr:to>
    <xdr:graphicFrame macro="">
      <xdr:nvGraphicFramePr>
        <xdr:cNvPr id="3" name="Chart 2">
          <a:extLst>
            <a:ext uri="{FF2B5EF4-FFF2-40B4-BE49-F238E27FC236}">
              <a16:creationId xmlns:a16="http://schemas.microsoft.com/office/drawing/2014/main" id="{19AE75E3-51C5-4534-88CD-76284E1F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358140</xdr:colOff>
      <xdr:row>6</xdr:row>
      <xdr:rowOff>9984</xdr:rowOff>
    </xdr:from>
    <xdr:to>
      <xdr:col>14</xdr:col>
      <xdr:colOff>602542</xdr:colOff>
      <xdr:row>19</xdr:row>
      <xdr:rowOff>21020</xdr:rowOff>
    </xdr:to>
    <xdr:graphicFrame macro="">
      <xdr:nvGraphicFramePr>
        <xdr:cNvPr id="4" name="Chart 3">
          <a:extLst>
            <a:ext uri="{FF2B5EF4-FFF2-40B4-BE49-F238E27FC236}">
              <a16:creationId xmlns:a16="http://schemas.microsoft.com/office/drawing/2014/main" id="{76337E5E-6CAF-4BE3-A549-3AC5516B3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22860</xdr:rowOff>
    </xdr:from>
    <xdr:to>
      <xdr:col>2</xdr:col>
      <xdr:colOff>449580</xdr:colOff>
      <xdr:row>11</xdr:row>
      <xdr:rowOff>7619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254C4DB-06C0-F290-9CBC-6A74E5705A2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0140"/>
              <a:ext cx="166878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7621</xdr:rowOff>
    </xdr:from>
    <xdr:to>
      <xdr:col>2</xdr:col>
      <xdr:colOff>449580</xdr:colOff>
      <xdr:row>26</xdr:row>
      <xdr:rowOff>53340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24AEF84-C757-5564-7320-0377A5FF842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16581"/>
              <a:ext cx="166878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167641</xdr:rowOff>
    </xdr:from>
    <xdr:to>
      <xdr:col>2</xdr:col>
      <xdr:colOff>449580</xdr:colOff>
      <xdr:row>17</xdr:row>
      <xdr:rowOff>38100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9365843-E2C3-D0FD-ECC6-90CC09F64D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96441"/>
              <a:ext cx="166878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KUMAR" refreshedDate="46013.444865162041" createdVersion="8" refreshedVersion="8" minRefreshableVersion="3" recordCount="1000" xr:uid="{7CEE591A-E55F-42ED-90A1-3D77C7EE06A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5457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067D8-7C4A-439D-9AEC-1288BAE3FF6A}"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E4197-D050-4EA1-AB01-8B2BEE466F73}"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D3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622C7F-BC8C-4DFD-831C-293C30ECFA75}"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2">
    <format dxfId="46">
      <pivotArea collapsedLevelsAreSubtotals="1" fieldPosition="0">
        <references count="1">
          <reference field="2" count="0"/>
        </references>
      </pivotArea>
    </format>
    <format dxfId="47">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71FD770-FF9C-48A1-ADF0-F9F46ECD5168}" sourceName="Marital Status">
  <pivotTables>
    <pivotTable tabId="4" name="PivotTable2"/>
    <pivotTable tabId="4" name="PivotTable3"/>
    <pivotTable tabId="4" name="PivotTable4"/>
  </pivotTables>
  <data>
    <tabular pivotCacheId="12854570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BF3C0F-5CF1-4A1D-84A1-A1B63FBD0A60}" sourceName="Education">
  <pivotTables>
    <pivotTable tabId="4" name="PivotTable2"/>
    <pivotTable tabId="4" name="PivotTable3"/>
    <pivotTable tabId="4" name="PivotTable4"/>
  </pivotTables>
  <data>
    <tabular pivotCacheId="12854570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37A64F-981D-4E77-AD17-422FB4CE4B78}" sourceName="Region">
  <pivotTables>
    <pivotTable tabId="4" name="PivotTable2"/>
    <pivotTable tabId="4" name="PivotTable3"/>
    <pivotTable tabId="4" name="PivotTable4"/>
  </pivotTables>
  <data>
    <tabular pivotCacheId="12854570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FC837D-CB9B-4865-B126-46E1FECAE1DA}" cache="Slicer_Marital_Status" caption="Marital Status" rowHeight="234950"/>
  <slicer name="Education" xr10:uid="{F2C80E93-1902-4D16-9108-9E99BBFEEEAA}" cache="Slicer_Education" caption="Education" rowHeight="234950"/>
  <slicer name="Region" xr10:uid="{51DAB62C-2AC6-4717-8E35-5ABB333AE3E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3"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D8DB-0055-429D-8D8E-17C568A3C08F}">
  <dimension ref="A1:N1001"/>
  <sheetViews>
    <sheetView zoomScale="130" zoomScaleNormal="130" workbookViewId="0">
      <selection activeCell="M2" sqref="M2"/>
    </sheetView>
  </sheetViews>
  <sheetFormatPr defaultRowHeight="14.4" x14ac:dyDescent="0.3"/>
  <cols>
    <col min="1" max="1" width="6" bestFit="1" customWidth="1"/>
    <col min="2" max="2" width="14.5546875" bestFit="1" customWidth="1"/>
    <col min="3" max="3" width="9.109375" bestFit="1" customWidth="1"/>
    <col min="4" max="4" width="9.33203125" bestFit="1" customWidth="1"/>
    <col min="5" max="5" width="9.88671875" bestFit="1" customWidth="1"/>
    <col min="6" max="6" width="16.21875" bestFit="1" customWidth="1"/>
    <col min="7" max="7" width="12.77734375" bestFit="1" customWidth="1"/>
    <col min="8" max="8" width="14" bestFit="1" customWidth="1"/>
    <col min="9" max="9" width="6.77734375" bestFit="1" customWidth="1"/>
    <col min="10" max="10" width="18.77734375" bestFit="1" customWidth="1"/>
    <col min="11" max="11" width="13" bestFit="1" customWidth="1"/>
    <col min="12" max="12" width="6.21875" bestFit="1" customWidth="1"/>
    <col min="13" max="13" width="12.88671875" bestFit="1"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IF(L2&gt;=55,"Old",IF(L2&gt;=31,"Middle Aged",IF(L2&lt;31,"Adolscent","Invalid")))</f>
        <v>Middle Aged</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IF(L3&gt;=55,"Old",IF(L3&gt;=31,"Middle Aged",IF(L3&lt;31,"Adolscent","Invalid")))</f>
        <v>Middle Aged</v>
      </c>
      <c r="N3" t="s">
        <v>18</v>
      </c>
    </row>
    <row r="4" spans="1:14" x14ac:dyDescent="0.3">
      <c r="A4">
        <v>14177</v>
      </c>
      <c r="B4" t="s">
        <v>36</v>
      </c>
      <c r="C4" t="s">
        <v>38</v>
      </c>
      <c r="D4" s="4">
        <v>80000</v>
      </c>
      <c r="E4">
        <v>5</v>
      </c>
      <c r="F4" t="s">
        <v>19</v>
      </c>
      <c r="G4" t="s">
        <v>21</v>
      </c>
      <c r="H4" t="s">
        <v>18</v>
      </c>
      <c r="I4">
        <v>2</v>
      </c>
      <c r="J4" t="s">
        <v>22</v>
      </c>
      <c r="K4" t="s">
        <v>17</v>
      </c>
      <c r="L4">
        <v>60</v>
      </c>
      <c r="M4" t="str">
        <f t="shared" si="0"/>
        <v>Old</v>
      </c>
      <c r="N4" t="s">
        <v>18</v>
      </c>
    </row>
    <row r="5" spans="1:14" x14ac:dyDescent="0.3">
      <c r="A5">
        <v>24381</v>
      </c>
      <c r="B5" t="s">
        <v>37</v>
      </c>
      <c r="C5" t="s">
        <v>38</v>
      </c>
      <c r="D5" s="4">
        <v>70000</v>
      </c>
      <c r="E5">
        <v>0</v>
      </c>
      <c r="F5" t="s">
        <v>13</v>
      </c>
      <c r="G5" t="s">
        <v>21</v>
      </c>
      <c r="H5" t="s">
        <v>15</v>
      </c>
      <c r="I5">
        <v>1</v>
      </c>
      <c r="J5" t="s">
        <v>23</v>
      </c>
      <c r="K5" t="s">
        <v>24</v>
      </c>
      <c r="L5">
        <v>41</v>
      </c>
      <c r="M5" t="str">
        <f t="shared" si="0"/>
        <v>Middle Aged</v>
      </c>
      <c r="N5" t="s">
        <v>15</v>
      </c>
    </row>
    <row r="6" spans="1:14" x14ac:dyDescent="0.3">
      <c r="A6">
        <v>25597</v>
      </c>
      <c r="B6" t="s">
        <v>37</v>
      </c>
      <c r="C6" t="s">
        <v>38</v>
      </c>
      <c r="D6" s="4">
        <v>30000</v>
      </c>
      <c r="E6">
        <v>0</v>
      </c>
      <c r="F6" t="s">
        <v>13</v>
      </c>
      <c r="G6" t="s">
        <v>20</v>
      </c>
      <c r="H6" t="s">
        <v>18</v>
      </c>
      <c r="I6">
        <v>0</v>
      </c>
      <c r="J6" t="s">
        <v>16</v>
      </c>
      <c r="K6" t="s">
        <v>17</v>
      </c>
      <c r="L6">
        <v>36</v>
      </c>
      <c r="M6" t="str">
        <f t="shared" si="0"/>
        <v>Middle Aged</v>
      </c>
      <c r="N6" t="s">
        <v>15</v>
      </c>
    </row>
    <row r="7" spans="1:14" x14ac:dyDescent="0.3">
      <c r="A7">
        <v>13507</v>
      </c>
      <c r="B7" t="s">
        <v>36</v>
      </c>
      <c r="C7" t="s">
        <v>39</v>
      </c>
      <c r="D7" s="4">
        <v>10000</v>
      </c>
      <c r="E7">
        <v>2</v>
      </c>
      <c r="F7" t="s">
        <v>19</v>
      </c>
      <c r="G7" t="s">
        <v>25</v>
      </c>
      <c r="H7" t="s">
        <v>15</v>
      </c>
      <c r="I7">
        <v>0</v>
      </c>
      <c r="J7" t="s">
        <v>26</v>
      </c>
      <c r="K7" t="s">
        <v>17</v>
      </c>
      <c r="L7">
        <v>50</v>
      </c>
      <c r="M7" t="str">
        <f t="shared" si="0"/>
        <v>Middle Aged</v>
      </c>
      <c r="N7" t="s">
        <v>18</v>
      </c>
    </row>
    <row r="8" spans="1:14" x14ac:dyDescent="0.3">
      <c r="A8">
        <v>27974</v>
      </c>
      <c r="B8" t="s">
        <v>37</v>
      </c>
      <c r="C8" t="s">
        <v>38</v>
      </c>
      <c r="D8" s="4">
        <v>160000</v>
      </c>
      <c r="E8">
        <v>2</v>
      </c>
      <c r="F8" t="s">
        <v>27</v>
      </c>
      <c r="G8" t="s">
        <v>28</v>
      </c>
      <c r="H8" t="s">
        <v>15</v>
      </c>
      <c r="I8">
        <v>4</v>
      </c>
      <c r="J8" t="s">
        <v>16</v>
      </c>
      <c r="K8" t="s">
        <v>24</v>
      </c>
      <c r="L8">
        <v>33</v>
      </c>
      <c r="M8" t="str">
        <f t="shared" si="0"/>
        <v>Middle Aged</v>
      </c>
      <c r="N8" t="s">
        <v>15</v>
      </c>
    </row>
    <row r="9" spans="1:14" x14ac:dyDescent="0.3">
      <c r="A9">
        <v>19364</v>
      </c>
      <c r="B9" t="s">
        <v>36</v>
      </c>
      <c r="C9" t="s">
        <v>38</v>
      </c>
      <c r="D9" s="4">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4">
        <v>90000</v>
      </c>
      <c r="E13">
        <v>0</v>
      </c>
      <c r="F13" t="s">
        <v>13</v>
      </c>
      <c r="G13" t="s">
        <v>21</v>
      </c>
      <c r="H13" t="s">
        <v>18</v>
      </c>
      <c r="I13">
        <v>4</v>
      </c>
      <c r="J13" t="s">
        <v>49</v>
      </c>
      <c r="K13" t="s">
        <v>24</v>
      </c>
      <c r="L13">
        <v>36</v>
      </c>
      <c r="M13" t="str">
        <f t="shared" si="0"/>
        <v>Middle Aged</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4">
        <v>80000</v>
      </c>
      <c r="E23">
        <v>0</v>
      </c>
      <c r="F23" t="s">
        <v>13</v>
      </c>
      <c r="G23" t="s">
        <v>21</v>
      </c>
      <c r="H23" t="s">
        <v>15</v>
      </c>
      <c r="I23">
        <v>4</v>
      </c>
      <c r="J23" t="s">
        <v>49</v>
      </c>
      <c r="K23" t="s">
        <v>24</v>
      </c>
      <c r="L23">
        <v>35</v>
      </c>
      <c r="M23" t="str">
        <f t="shared" si="0"/>
        <v>Middle Aged</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Adolscent</v>
      </c>
      <c r="N52" t="s">
        <v>18</v>
      </c>
    </row>
    <row r="53" spans="1:14" x14ac:dyDescent="0.3">
      <c r="A53">
        <v>20619</v>
      </c>
      <c r="B53" t="s">
        <v>37</v>
      </c>
      <c r="C53" t="s">
        <v>38</v>
      </c>
      <c r="D53" s="4">
        <v>80000</v>
      </c>
      <c r="E53">
        <v>0</v>
      </c>
      <c r="F53" t="s">
        <v>13</v>
      </c>
      <c r="G53" t="s">
        <v>21</v>
      </c>
      <c r="H53" t="s">
        <v>18</v>
      </c>
      <c r="I53">
        <v>4</v>
      </c>
      <c r="J53" t="s">
        <v>49</v>
      </c>
      <c r="K53" t="s">
        <v>24</v>
      </c>
      <c r="L53">
        <v>35</v>
      </c>
      <c r="M53" t="str">
        <f t="shared" si="0"/>
        <v>Middle Aged</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4">
        <v>80000</v>
      </c>
      <c r="E57">
        <v>4</v>
      </c>
      <c r="F57" t="s">
        <v>27</v>
      </c>
      <c r="G57" t="s">
        <v>21</v>
      </c>
      <c r="H57" t="s">
        <v>15</v>
      </c>
      <c r="I57">
        <v>2</v>
      </c>
      <c r="J57" t="s">
        <v>49</v>
      </c>
      <c r="K57" t="s">
        <v>17</v>
      </c>
      <c r="L57">
        <v>54</v>
      </c>
      <c r="M57" t="str">
        <f t="shared" si="0"/>
        <v>Middle Aged</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4">
        <v>60000</v>
      </c>
      <c r="E65">
        <v>4</v>
      </c>
      <c r="F65" t="s">
        <v>13</v>
      </c>
      <c r="G65" t="s">
        <v>21</v>
      </c>
      <c r="H65" t="s">
        <v>15</v>
      </c>
      <c r="I65">
        <v>3</v>
      </c>
      <c r="J65" t="s">
        <v>49</v>
      </c>
      <c r="K65" t="s">
        <v>24</v>
      </c>
      <c r="L65">
        <v>41</v>
      </c>
      <c r="M65" t="str">
        <f t="shared" si="0"/>
        <v>Middle Aged</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IF(L67&gt;=55,"Old",IF(L67&gt;=31,"Middle Aged",IF(L67&lt;31,"Adolscent","Invalid")))</f>
        <v>Old</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Adolscent</v>
      </c>
      <c r="N71" t="s">
        <v>18</v>
      </c>
    </row>
    <row r="72" spans="1:14" x14ac:dyDescent="0.3">
      <c r="A72">
        <v>14238</v>
      </c>
      <c r="B72" t="s">
        <v>36</v>
      </c>
      <c r="C72" t="s">
        <v>38</v>
      </c>
      <c r="D72" s="4">
        <v>120000</v>
      </c>
      <c r="E72">
        <v>0</v>
      </c>
      <c r="F72" t="s">
        <v>29</v>
      </c>
      <c r="G72" t="s">
        <v>21</v>
      </c>
      <c r="H72" t="s">
        <v>15</v>
      </c>
      <c r="I72">
        <v>4</v>
      </c>
      <c r="J72" t="s">
        <v>49</v>
      </c>
      <c r="K72" t="s">
        <v>24</v>
      </c>
      <c r="L72">
        <v>36</v>
      </c>
      <c r="M72" t="str">
        <f t="shared" si="1"/>
        <v>Middle Aged</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Adolscent</v>
      </c>
      <c r="N78" t="s">
        <v>18</v>
      </c>
    </row>
    <row r="79" spans="1:14" x14ac:dyDescent="0.3">
      <c r="A79">
        <v>27969</v>
      </c>
      <c r="B79" t="s">
        <v>36</v>
      </c>
      <c r="C79" t="s">
        <v>38</v>
      </c>
      <c r="D79" s="4">
        <v>80000</v>
      </c>
      <c r="E79">
        <v>0</v>
      </c>
      <c r="F79" t="s">
        <v>13</v>
      </c>
      <c r="G79" t="s">
        <v>21</v>
      </c>
      <c r="H79" t="s">
        <v>15</v>
      </c>
      <c r="I79">
        <v>2</v>
      </c>
      <c r="J79" t="s">
        <v>49</v>
      </c>
      <c r="K79" t="s">
        <v>24</v>
      </c>
      <c r="L79">
        <v>29</v>
      </c>
      <c r="M79" t="str">
        <f t="shared" si="1"/>
        <v>Adolscent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4">
        <v>90000</v>
      </c>
      <c r="E97">
        <v>5</v>
      </c>
      <c r="F97" t="s">
        <v>19</v>
      </c>
      <c r="G97" t="s">
        <v>21</v>
      </c>
      <c r="H97" t="s">
        <v>15</v>
      </c>
      <c r="I97">
        <v>2</v>
      </c>
      <c r="J97" t="s">
        <v>49</v>
      </c>
      <c r="K97" t="s">
        <v>17</v>
      </c>
      <c r="L97">
        <v>62</v>
      </c>
      <c r="M97" t="str">
        <f t="shared" si="1"/>
        <v>Old</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4">
        <v>80000</v>
      </c>
      <c r="E124">
        <v>0</v>
      </c>
      <c r="F124" t="s">
        <v>13</v>
      </c>
      <c r="G124" t="s">
        <v>21</v>
      </c>
      <c r="H124" t="s">
        <v>18</v>
      </c>
      <c r="I124">
        <v>3</v>
      </c>
      <c r="J124" t="s">
        <v>49</v>
      </c>
      <c r="K124" t="s">
        <v>24</v>
      </c>
      <c r="L124">
        <v>31</v>
      </c>
      <c r="M124" t="str">
        <f t="shared" si="1"/>
        <v>Middle Aged</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IF(L131&gt;=55,"Old",IF(L131&gt;=31,"Middle Aged",IF(L131&lt;31,"Adolscent","Invalid")))</f>
        <v>Middle Aged</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4">
        <v>80000</v>
      </c>
      <c r="E145">
        <v>0</v>
      </c>
      <c r="F145" t="s">
        <v>13</v>
      </c>
      <c r="G145" t="s">
        <v>21</v>
      </c>
      <c r="H145" t="s">
        <v>15</v>
      </c>
      <c r="I145">
        <v>3</v>
      </c>
      <c r="J145" t="s">
        <v>49</v>
      </c>
      <c r="K145" t="s">
        <v>24</v>
      </c>
      <c r="L145">
        <v>32</v>
      </c>
      <c r="M145" t="str">
        <f t="shared" si="2"/>
        <v>Middle Aged</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4">
        <v>100000</v>
      </c>
      <c r="E169">
        <v>0</v>
      </c>
      <c r="F169" t="s">
        <v>27</v>
      </c>
      <c r="G169" t="s">
        <v>28</v>
      </c>
      <c r="H169" t="s">
        <v>15</v>
      </c>
      <c r="I169">
        <v>3</v>
      </c>
      <c r="J169" t="s">
        <v>49</v>
      </c>
      <c r="K169" t="s">
        <v>24</v>
      </c>
      <c r="L169">
        <v>35</v>
      </c>
      <c r="M169" t="str">
        <f t="shared" si="2"/>
        <v>Middle Aged</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4">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4">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4">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39</v>
      </c>
      <c r="D190" s="4">
        <v>70000</v>
      </c>
      <c r="E190">
        <v>0</v>
      </c>
      <c r="F190" t="s">
        <v>13</v>
      </c>
      <c r="G190" t="s">
        <v>21</v>
      </c>
      <c r="H190" t="s">
        <v>15</v>
      </c>
      <c r="I190">
        <v>4</v>
      </c>
      <c r="J190" t="s">
        <v>49</v>
      </c>
      <c r="K190" t="s">
        <v>24</v>
      </c>
      <c r="L190">
        <v>32</v>
      </c>
      <c r="M190" t="str">
        <f t="shared" si="2"/>
        <v>Middle Aged</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4">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39</v>
      </c>
      <c r="D195" s="4">
        <v>70000</v>
      </c>
      <c r="E195">
        <v>5</v>
      </c>
      <c r="F195" t="s">
        <v>13</v>
      </c>
      <c r="G195" t="s">
        <v>21</v>
      </c>
      <c r="H195" t="s">
        <v>15</v>
      </c>
      <c r="I195">
        <v>4</v>
      </c>
      <c r="J195" t="s">
        <v>49</v>
      </c>
      <c r="K195" t="s">
        <v>24</v>
      </c>
      <c r="L195">
        <v>41</v>
      </c>
      <c r="M195" t="str">
        <f t="shared" ref="M195:M258" si="3">IF(L195&gt;=55,"Old",IF(L195&gt;=31,"Middle Aged",IF(L195&lt;31,"Adolscent","Invalid")))</f>
        <v>Middle Aged</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4">
        <v>80000</v>
      </c>
      <c r="E201">
        <v>0</v>
      </c>
      <c r="F201" t="s">
        <v>13</v>
      </c>
      <c r="G201" t="s">
        <v>21</v>
      </c>
      <c r="H201" t="s">
        <v>18</v>
      </c>
      <c r="I201">
        <v>3</v>
      </c>
      <c r="J201" t="s">
        <v>49</v>
      </c>
      <c r="K201" t="s">
        <v>24</v>
      </c>
      <c r="L201">
        <v>33</v>
      </c>
      <c r="M201" t="str">
        <f t="shared" si="3"/>
        <v>Middle Aged</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4">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38</v>
      </c>
      <c r="D215" s="4">
        <v>70000</v>
      </c>
      <c r="E215">
        <v>0</v>
      </c>
      <c r="F215" t="s">
        <v>13</v>
      </c>
      <c r="G215" t="s">
        <v>21</v>
      </c>
      <c r="H215" t="s">
        <v>18</v>
      </c>
      <c r="I215">
        <v>4</v>
      </c>
      <c r="J215" t="s">
        <v>49</v>
      </c>
      <c r="K215" t="s">
        <v>24</v>
      </c>
      <c r="L215">
        <v>31</v>
      </c>
      <c r="M215" t="str">
        <f t="shared" si="3"/>
        <v>Middle Aged</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4">
        <v>70000</v>
      </c>
      <c r="E225">
        <v>5</v>
      </c>
      <c r="F225" t="s">
        <v>13</v>
      </c>
      <c r="G225" t="s">
        <v>21</v>
      </c>
      <c r="H225" t="s">
        <v>15</v>
      </c>
      <c r="I225">
        <v>4</v>
      </c>
      <c r="J225" t="s">
        <v>49</v>
      </c>
      <c r="K225" t="s">
        <v>24</v>
      </c>
      <c r="L225">
        <v>39</v>
      </c>
      <c r="M225" t="str">
        <f t="shared" si="3"/>
        <v>Middle Aged</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4">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38</v>
      </c>
      <c r="D232" s="4">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38</v>
      </c>
      <c r="D236" s="4">
        <v>90000</v>
      </c>
      <c r="E236">
        <v>0</v>
      </c>
      <c r="F236" t="s">
        <v>13</v>
      </c>
      <c r="G236" t="s">
        <v>21</v>
      </c>
      <c r="H236" t="s">
        <v>18</v>
      </c>
      <c r="I236">
        <v>4</v>
      </c>
      <c r="J236" t="s">
        <v>49</v>
      </c>
      <c r="K236" t="s">
        <v>24</v>
      </c>
      <c r="L236">
        <v>35</v>
      </c>
      <c r="M236" t="str">
        <f t="shared" si="3"/>
        <v>Middle Aged</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39</v>
      </c>
      <c r="D246" s="4">
        <v>120000</v>
      </c>
      <c r="E246">
        <v>3</v>
      </c>
      <c r="F246" t="s">
        <v>13</v>
      </c>
      <c r="G246" t="s">
        <v>28</v>
      </c>
      <c r="H246" t="s">
        <v>18</v>
      </c>
      <c r="I246">
        <v>2</v>
      </c>
      <c r="J246" t="s">
        <v>49</v>
      </c>
      <c r="K246" t="s">
        <v>17</v>
      </c>
      <c r="L246">
        <v>52</v>
      </c>
      <c r="M246" t="str">
        <f t="shared" si="3"/>
        <v>Middle Aged</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4">
        <v>100000</v>
      </c>
      <c r="E249">
        <v>0</v>
      </c>
      <c r="F249" t="s">
        <v>27</v>
      </c>
      <c r="G249" t="s">
        <v>28</v>
      </c>
      <c r="H249" t="s">
        <v>15</v>
      </c>
      <c r="I249">
        <v>4</v>
      </c>
      <c r="J249" t="s">
        <v>49</v>
      </c>
      <c r="K249" t="s">
        <v>24</v>
      </c>
      <c r="L249">
        <v>34</v>
      </c>
      <c r="M249" t="str">
        <f t="shared" si="3"/>
        <v>Middle Aged</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4">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IF(L259&gt;=55,"Old",IF(L259&gt;=31,"Middle Aged",IF(L259&lt;31,"Adolscent","Invalid")))</f>
        <v>Middle Aged</v>
      </c>
      <c r="N259" t="s">
        <v>15</v>
      </c>
    </row>
    <row r="260" spans="1:14" x14ac:dyDescent="0.3">
      <c r="A260">
        <v>14193</v>
      </c>
      <c r="B260" t="s">
        <v>37</v>
      </c>
      <c r="C260" t="s">
        <v>39</v>
      </c>
      <c r="D260" s="4">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4">
        <v>70000</v>
      </c>
      <c r="E265">
        <v>5</v>
      </c>
      <c r="F265" t="s">
        <v>13</v>
      </c>
      <c r="G265" t="s">
        <v>21</v>
      </c>
      <c r="H265" t="s">
        <v>15</v>
      </c>
      <c r="I265">
        <v>3</v>
      </c>
      <c r="J265" t="s">
        <v>49</v>
      </c>
      <c r="K265" t="s">
        <v>24</v>
      </c>
      <c r="L265">
        <v>39</v>
      </c>
      <c r="M265" t="str">
        <f t="shared" si="4"/>
        <v>Middle Aged</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4">
        <v>100000</v>
      </c>
      <c r="E280">
        <v>0</v>
      </c>
      <c r="F280" t="s">
        <v>27</v>
      </c>
      <c r="G280" t="s">
        <v>28</v>
      </c>
      <c r="H280" t="s">
        <v>15</v>
      </c>
      <c r="I280">
        <v>3</v>
      </c>
      <c r="J280" t="s">
        <v>49</v>
      </c>
      <c r="K280" t="s">
        <v>24</v>
      </c>
      <c r="L280">
        <v>35</v>
      </c>
      <c r="M280" t="str">
        <f t="shared" si="4"/>
        <v>Middle Aged</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4">
        <v>110000</v>
      </c>
      <c r="E297">
        <v>0</v>
      </c>
      <c r="F297" t="s">
        <v>19</v>
      </c>
      <c r="G297" t="s">
        <v>28</v>
      </c>
      <c r="H297" t="s">
        <v>15</v>
      </c>
      <c r="I297">
        <v>3</v>
      </c>
      <c r="J297" t="s">
        <v>49</v>
      </c>
      <c r="K297" t="s">
        <v>24</v>
      </c>
      <c r="L297">
        <v>32</v>
      </c>
      <c r="M297" t="str">
        <f t="shared" si="4"/>
        <v>Middle Aged</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4">
        <v>130000</v>
      </c>
      <c r="E320">
        <v>4</v>
      </c>
      <c r="F320" t="s">
        <v>19</v>
      </c>
      <c r="G320" t="s">
        <v>21</v>
      </c>
      <c r="H320" t="s">
        <v>18</v>
      </c>
      <c r="I320">
        <v>3</v>
      </c>
      <c r="J320" t="s">
        <v>49</v>
      </c>
      <c r="K320" t="s">
        <v>17</v>
      </c>
      <c r="L320">
        <v>54</v>
      </c>
      <c r="M320" t="str">
        <f t="shared" si="4"/>
        <v>Middle Aged</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IF(L323&gt;=55,"Old",IF(L323&gt;=31,"Middle Aged",IF(L323&lt;31,"Adolscent","Invalid")))</f>
        <v>Middle Aged</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4">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39</v>
      </c>
      <c r="D332" s="4">
        <v>80000</v>
      </c>
      <c r="E332">
        <v>0</v>
      </c>
      <c r="F332" t="s">
        <v>13</v>
      </c>
      <c r="G332" t="s">
        <v>21</v>
      </c>
      <c r="H332" t="s">
        <v>15</v>
      </c>
      <c r="I332">
        <v>3</v>
      </c>
      <c r="J332" t="s">
        <v>49</v>
      </c>
      <c r="K332" t="s">
        <v>24</v>
      </c>
      <c r="L332">
        <v>32</v>
      </c>
      <c r="M332" t="str">
        <f t="shared" si="5"/>
        <v>Middle Aged</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4">
        <v>80000</v>
      </c>
      <c r="E357">
        <v>0</v>
      </c>
      <c r="F357" t="s">
        <v>13</v>
      </c>
      <c r="G357" t="s">
        <v>21</v>
      </c>
      <c r="H357" t="s">
        <v>15</v>
      </c>
      <c r="I357">
        <v>3</v>
      </c>
      <c r="J357" t="s">
        <v>49</v>
      </c>
      <c r="K357" t="s">
        <v>24</v>
      </c>
      <c r="L357">
        <v>32</v>
      </c>
      <c r="M357" t="str">
        <f t="shared" si="5"/>
        <v>Middle Aged</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4">
        <v>80000</v>
      </c>
      <c r="E361">
        <v>0</v>
      </c>
      <c r="F361" t="s">
        <v>13</v>
      </c>
      <c r="G361" t="s">
        <v>21</v>
      </c>
      <c r="H361" t="s">
        <v>15</v>
      </c>
      <c r="I361">
        <v>3</v>
      </c>
      <c r="J361" t="s">
        <v>49</v>
      </c>
      <c r="K361" t="s">
        <v>24</v>
      </c>
      <c r="L361">
        <v>30</v>
      </c>
      <c r="M361" t="str">
        <f t="shared" si="5"/>
        <v>Adolscent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4">
        <v>100000</v>
      </c>
      <c r="E372">
        <v>4</v>
      </c>
      <c r="F372" t="s">
        <v>13</v>
      </c>
      <c r="G372" t="s">
        <v>21</v>
      </c>
      <c r="H372" t="s">
        <v>15</v>
      </c>
      <c r="I372">
        <v>1</v>
      </c>
      <c r="J372" t="s">
        <v>49</v>
      </c>
      <c r="K372" t="s">
        <v>24</v>
      </c>
      <c r="L372">
        <v>46</v>
      </c>
      <c r="M372" t="str">
        <f t="shared" si="5"/>
        <v>Middle Aged</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4">
        <v>70000</v>
      </c>
      <c r="E382">
        <v>0</v>
      </c>
      <c r="F382" t="s">
        <v>13</v>
      </c>
      <c r="G382" t="s">
        <v>21</v>
      </c>
      <c r="H382" t="s">
        <v>18</v>
      </c>
      <c r="I382">
        <v>3</v>
      </c>
      <c r="J382" t="s">
        <v>49</v>
      </c>
      <c r="K382" t="s">
        <v>24</v>
      </c>
      <c r="L382">
        <v>30</v>
      </c>
      <c r="M382" t="str">
        <f t="shared" si="5"/>
        <v>Adolscent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4">
        <v>80000</v>
      </c>
      <c r="E384">
        <v>4</v>
      </c>
      <c r="F384" t="s">
        <v>19</v>
      </c>
      <c r="G384" t="s">
        <v>21</v>
      </c>
      <c r="H384" t="s">
        <v>15</v>
      </c>
      <c r="I384">
        <v>2</v>
      </c>
      <c r="J384" t="s">
        <v>49</v>
      </c>
      <c r="K384" t="s">
        <v>17</v>
      </c>
      <c r="L384">
        <v>53</v>
      </c>
      <c r="M384" t="str">
        <f t="shared" si="5"/>
        <v>Middle Aged</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IF(L387&gt;=55,"Old",IF(L387&gt;=31,"Middle Aged",IF(L387&lt;31,"Adolscent","Invalid")))</f>
        <v>Middle Aged</v>
      </c>
      <c r="N387" t="s">
        <v>18</v>
      </c>
    </row>
    <row r="388" spans="1:14" x14ac:dyDescent="0.3">
      <c r="A388">
        <v>28957</v>
      </c>
      <c r="B388" t="s">
        <v>37</v>
      </c>
      <c r="C388" t="s">
        <v>39</v>
      </c>
      <c r="D388" s="4">
        <v>120000</v>
      </c>
      <c r="E388">
        <v>0</v>
      </c>
      <c r="F388" t="s">
        <v>29</v>
      </c>
      <c r="G388" t="s">
        <v>21</v>
      </c>
      <c r="H388" t="s">
        <v>15</v>
      </c>
      <c r="I388">
        <v>4</v>
      </c>
      <c r="J388" t="s">
        <v>49</v>
      </c>
      <c r="K388" t="s">
        <v>24</v>
      </c>
      <c r="L388">
        <v>34</v>
      </c>
      <c r="M388" t="str">
        <f t="shared" si="6"/>
        <v>Middle Aged</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4">
        <v>110000</v>
      </c>
      <c r="E402">
        <v>3</v>
      </c>
      <c r="F402" t="s">
        <v>13</v>
      </c>
      <c r="G402" t="s">
        <v>28</v>
      </c>
      <c r="H402" t="s">
        <v>15</v>
      </c>
      <c r="I402">
        <v>4</v>
      </c>
      <c r="J402" t="s">
        <v>49</v>
      </c>
      <c r="K402" t="s">
        <v>17</v>
      </c>
      <c r="L402">
        <v>53</v>
      </c>
      <c r="M402" t="str">
        <f t="shared" si="6"/>
        <v>Middle Aged</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4">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4">
        <v>110000</v>
      </c>
      <c r="E424">
        <v>0</v>
      </c>
      <c r="F424" t="s">
        <v>19</v>
      </c>
      <c r="G424" t="s">
        <v>28</v>
      </c>
      <c r="H424" t="s">
        <v>18</v>
      </c>
      <c r="I424">
        <v>3</v>
      </c>
      <c r="J424" t="s">
        <v>49</v>
      </c>
      <c r="K424" t="s">
        <v>24</v>
      </c>
      <c r="L424">
        <v>32</v>
      </c>
      <c r="M424" t="str">
        <f t="shared" si="6"/>
        <v>Middle Aged</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39</v>
      </c>
      <c r="D434" s="4">
        <v>110000</v>
      </c>
      <c r="E434">
        <v>0</v>
      </c>
      <c r="F434" t="s">
        <v>27</v>
      </c>
      <c r="G434" t="s">
        <v>28</v>
      </c>
      <c r="H434" t="s">
        <v>15</v>
      </c>
      <c r="I434">
        <v>3</v>
      </c>
      <c r="J434" t="s">
        <v>49</v>
      </c>
      <c r="K434" t="s">
        <v>24</v>
      </c>
      <c r="L434">
        <v>34</v>
      </c>
      <c r="M434" t="str">
        <f t="shared" si="6"/>
        <v>Middle Aged</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4">
        <v>90000</v>
      </c>
      <c r="E442">
        <v>0</v>
      </c>
      <c r="F442" t="s">
        <v>13</v>
      </c>
      <c r="G442" t="s">
        <v>21</v>
      </c>
      <c r="H442" t="s">
        <v>18</v>
      </c>
      <c r="I442">
        <v>3</v>
      </c>
      <c r="J442" t="s">
        <v>49</v>
      </c>
      <c r="K442" t="s">
        <v>24</v>
      </c>
      <c r="L442">
        <v>34</v>
      </c>
      <c r="M442" t="str">
        <f t="shared" si="6"/>
        <v>Middle Aged</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4">
        <v>130000</v>
      </c>
      <c r="E448">
        <v>0</v>
      </c>
      <c r="F448" t="s">
        <v>31</v>
      </c>
      <c r="G448" t="s">
        <v>28</v>
      </c>
      <c r="H448" t="s">
        <v>15</v>
      </c>
      <c r="I448">
        <v>1</v>
      </c>
      <c r="J448" t="s">
        <v>49</v>
      </c>
      <c r="K448" t="s">
        <v>24</v>
      </c>
      <c r="L448">
        <v>48</v>
      </c>
      <c r="M448" t="str">
        <f t="shared" si="6"/>
        <v>Middle Aged</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IF(L451&gt;=55,"Old",IF(L451&gt;=31,"Middle Aged",IF(L451&lt;31,"Adolscent","Invalid")))</f>
        <v>Middle Aged</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4">
        <v>120000</v>
      </c>
      <c r="E460">
        <v>0</v>
      </c>
      <c r="F460" t="s">
        <v>29</v>
      </c>
      <c r="G460" t="s">
        <v>21</v>
      </c>
      <c r="H460" t="s">
        <v>15</v>
      </c>
      <c r="I460">
        <v>4</v>
      </c>
      <c r="J460" t="s">
        <v>49</v>
      </c>
      <c r="K460" t="s">
        <v>24</v>
      </c>
      <c r="L460">
        <v>32</v>
      </c>
      <c r="M460" t="str">
        <f t="shared" si="7"/>
        <v>Middle Aged</v>
      </c>
      <c r="N460" t="s">
        <v>15</v>
      </c>
    </row>
    <row r="461" spans="1:14" x14ac:dyDescent="0.3">
      <c r="A461">
        <v>21554</v>
      </c>
      <c r="B461" t="s">
        <v>37</v>
      </c>
      <c r="C461" t="s">
        <v>39</v>
      </c>
      <c r="D461" s="4">
        <v>80000</v>
      </c>
      <c r="E461">
        <v>0</v>
      </c>
      <c r="F461" t="s">
        <v>13</v>
      </c>
      <c r="G461" t="s">
        <v>21</v>
      </c>
      <c r="H461" t="s">
        <v>18</v>
      </c>
      <c r="I461">
        <v>3</v>
      </c>
      <c r="J461" t="s">
        <v>49</v>
      </c>
      <c r="K461" t="s">
        <v>24</v>
      </c>
      <c r="L461">
        <v>33</v>
      </c>
      <c r="M461" t="str">
        <f t="shared" si="7"/>
        <v>Middle Aged</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4">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4">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4">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4">
        <v>60000</v>
      </c>
      <c r="E515">
        <v>4</v>
      </c>
      <c r="F515" t="s">
        <v>31</v>
      </c>
      <c r="G515" t="s">
        <v>28</v>
      </c>
      <c r="H515" t="s">
        <v>15</v>
      </c>
      <c r="I515">
        <v>2</v>
      </c>
      <c r="J515" t="s">
        <v>49</v>
      </c>
      <c r="K515" t="s">
        <v>32</v>
      </c>
      <c r="L515">
        <v>61</v>
      </c>
      <c r="M515" t="str">
        <f t="shared" ref="M515:M578" si="8">IF(L515&gt;=55,"Old",IF(L515&gt;=31,"Middle Aged",IF(L515&lt;31,"Adolscent","Invalid")))</f>
        <v>Old</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4">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4">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38</v>
      </c>
      <c r="D531" s="4">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4">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38</v>
      </c>
      <c r="D536" s="4">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38</v>
      </c>
      <c r="D537" s="4">
        <v>50000</v>
      </c>
      <c r="E537">
        <v>3</v>
      </c>
      <c r="F537" t="s">
        <v>13</v>
      </c>
      <c r="G537" t="s">
        <v>14</v>
      </c>
      <c r="H537" t="s">
        <v>15</v>
      </c>
      <c r="I537">
        <v>3</v>
      </c>
      <c r="J537" t="s">
        <v>49</v>
      </c>
      <c r="K537" t="s">
        <v>32</v>
      </c>
      <c r="L537">
        <v>41</v>
      </c>
      <c r="M537" t="str">
        <f t="shared" si="8"/>
        <v>Middle Aged</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4">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38</v>
      </c>
      <c r="D554" s="4">
        <v>60000</v>
      </c>
      <c r="E554">
        <v>3</v>
      </c>
      <c r="F554" t="s">
        <v>27</v>
      </c>
      <c r="G554" t="s">
        <v>21</v>
      </c>
      <c r="H554" t="s">
        <v>15</v>
      </c>
      <c r="I554">
        <v>2</v>
      </c>
      <c r="J554" t="s">
        <v>49</v>
      </c>
      <c r="K554" t="s">
        <v>32</v>
      </c>
      <c r="L554">
        <v>54</v>
      </c>
      <c r="M554" t="str">
        <f t="shared" si="8"/>
        <v>Middle Aged</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4">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4">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4">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IF(L579&gt;=55,"Old",IF(L579&gt;=31,"Middle Aged",IF(L579&lt;31,"Adolscent","Invalid")))</f>
        <v>Middle Aged</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4">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4">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4">
        <v>90000</v>
      </c>
      <c r="E590">
        <v>2</v>
      </c>
      <c r="F590" t="s">
        <v>27</v>
      </c>
      <c r="G590" t="s">
        <v>21</v>
      </c>
      <c r="H590" t="s">
        <v>15</v>
      </c>
      <c r="I590">
        <v>1</v>
      </c>
      <c r="J590" t="s">
        <v>49</v>
      </c>
      <c r="K590" t="s">
        <v>32</v>
      </c>
      <c r="L590">
        <v>51</v>
      </c>
      <c r="M590" t="str">
        <f t="shared" si="9"/>
        <v>Middle Aged</v>
      </c>
      <c r="N590" t="s">
        <v>15</v>
      </c>
    </row>
    <row r="591" spans="1:14" x14ac:dyDescent="0.3">
      <c r="A591">
        <v>12100</v>
      </c>
      <c r="B591" t="s">
        <v>37</v>
      </c>
      <c r="C591" t="s">
        <v>38</v>
      </c>
      <c r="D591" s="4">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4">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4">
        <v>70000</v>
      </c>
      <c r="E609">
        <v>5</v>
      </c>
      <c r="F609" t="s">
        <v>31</v>
      </c>
      <c r="G609" t="s">
        <v>21</v>
      </c>
      <c r="H609" t="s">
        <v>15</v>
      </c>
      <c r="I609">
        <v>3</v>
      </c>
      <c r="J609" t="s">
        <v>49</v>
      </c>
      <c r="K609" t="s">
        <v>32</v>
      </c>
      <c r="L609">
        <v>46</v>
      </c>
      <c r="M609" t="str">
        <f t="shared" si="9"/>
        <v>Middle Aged</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4">
        <v>50000</v>
      </c>
      <c r="E643">
        <v>4</v>
      </c>
      <c r="F643" t="s">
        <v>13</v>
      </c>
      <c r="G643" t="s">
        <v>28</v>
      </c>
      <c r="H643" t="s">
        <v>15</v>
      </c>
      <c r="I643">
        <v>2</v>
      </c>
      <c r="J643" t="s">
        <v>49</v>
      </c>
      <c r="K643" t="s">
        <v>32</v>
      </c>
      <c r="L643">
        <v>64</v>
      </c>
      <c r="M643" t="str">
        <f t="shared" ref="M643:M706" si="10">IF(L643&gt;=55,"Old",IF(L643&gt;=31,"Middle Aged",IF(L643&lt;31,"Adolscent","Invalid")))</f>
        <v>Old</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4">
        <v>60000</v>
      </c>
      <c r="E646">
        <v>5</v>
      </c>
      <c r="F646" t="s">
        <v>13</v>
      </c>
      <c r="G646" t="s">
        <v>14</v>
      </c>
      <c r="H646" t="s">
        <v>15</v>
      </c>
      <c r="I646">
        <v>3</v>
      </c>
      <c r="J646" t="s">
        <v>49</v>
      </c>
      <c r="K646" t="s">
        <v>32</v>
      </c>
      <c r="L646">
        <v>41</v>
      </c>
      <c r="M646" t="str">
        <f t="shared" si="10"/>
        <v>Middle Aged</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4">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4">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4">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4">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4">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4">
        <v>70000</v>
      </c>
      <c r="E707">
        <v>4</v>
      </c>
      <c r="F707" t="s">
        <v>13</v>
      </c>
      <c r="G707" t="s">
        <v>28</v>
      </c>
      <c r="H707" t="s">
        <v>15</v>
      </c>
      <c r="I707">
        <v>1</v>
      </c>
      <c r="J707" t="s">
        <v>49</v>
      </c>
      <c r="K707" t="s">
        <v>32</v>
      </c>
      <c r="L707">
        <v>59</v>
      </c>
      <c r="M707" t="str">
        <f t="shared" ref="M707:M770" si="11">IF(L707&gt;=55,"Old",IF(L707&gt;=31,"Middle Aged",IF(L707&lt;31,"Adolscent","Invalid")))</f>
        <v>Old</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4">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39</v>
      </c>
      <c r="D711" s="4">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4">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4">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4">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4">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4">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4">
        <v>50000</v>
      </c>
      <c r="E768">
        <v>4</v>
      </c>
      <c r="F768" t="s">
        <v>13</v>
      </c>
      <c r="G768" t="s">
        <v>14</v>
      </c>
      <c r="H768" t="s">
        <v>15</v>
      </c>
      <c r="I768">
        <v>3</v>
      </c>
      <c r="J768" t="s">
        <v>49</v>
      </c>
      <c r="K768" t="s">
        <v>32</v>
      </c>
      <c r="L768">
        <v>42</v>
      </c>
      <c r="M768" t="str">
        <f t="shared" si="11"/>
        <v>Middle Aged</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IF(L771&gt;=55,"Old",IF(L771&gt;=31,"Middle Aged",IF(L771&lt;31,"Adolscent","Invalid")))</f>
        <v>Middle Aged</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4">
        <v>70000</v>
      </c>
      <c r="E777">
        <v>2</v>
      </c>
      <c r="F777" t="s">
        <v>29</v>
      </c>
      <c r="G777" t="s">
        <v>14</v>
      </c>
      <c r="H777" t="s">
        <v>15</v>
      </c>
      <c r="I777">
        <v>2</v>
      </c>
      <c r="J777" t="s">
        <v>49</v>
      </c>
      <c r="K777" t="s">
        <v>32</v>
      </c>
      <c r="L777">
        <v>54</v>
      </c>
      <c r="M777" t="str">
        <f t="shared" si="12"/>
        <v>Middle Aged</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4">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4">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39</v>
      </c>
      <c r="D815" s="4">
        <v>70000</v>
      </c>
      <c r="E815">
        <v>2</v>
      </c>
      <c r="F815" t="s">
        <v>27</v>
      </c>
      <c r="G815" t="s">
        <v>21</v>
      </c>
      <c r="H815" t="s">
        <v>15</v>
      </c>
      <c r="I815">
        <v>2</v>
      </c>
      <c r="J815" t="s">
        <v>49</v>
      </c>
      <c r="K815" t="s">
        <v>32</v>
      </c>
      <c r="L815">
        <v>53</v>
      </c>
      <c r="M815" t="str">
        <f t="shared" si="12"/>
        <v>Middle Aged</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IF(L835&gt;=55,"Old",IF(L835&gt;=31,"Middle Aged",IF(L835&lt;31,"Adolscent","Invalid")))</f>
        <v>Middle Aged</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4">
        <v>70000</v>
      </c>
      <c r="E842">
        <v>4</v>
      </c>
      <c r="F842" t="s">
        <v>19</v>
      </c>
      <c r="G842" t="s">
        <v>21</v>
      </c>
      <c r="H842" t="s">
        <v>15</v>
      </c>
      <c r="I842">
        <v>2</v>
      </c>
      <c r="J842" t="s">
        <v>49</v>
      </c>
      <c r="K842" t="s">
        <v>32</v>
      </c>
      <c r="L842">
        <v>53</v>
      </c>
      <c r="M842" t="str">
        <f t="shared" si="13"/>
        <v>Middle Aged</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4">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4">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4">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4">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IF(L899&gt;=55,"Old",IF(L899&gt;=31,"Middle Aged",IF(L899&lt;31,"Adolscent","Invalid")))</f>
        <v>Adolscent</v>
      </c>
      <c r="N899" t="s">
        <v>18</v>
      </c>
    </row>
    <row r="900" spans="1:14" x14ac:dyDescent="0.3">
      <c r="A900">
        <v>18066</v>
      </c>
      <c r="B900" t="s">
        <v>37</v>
      </c>
      <c r="C900" t="s">
        <v>38</v>
      </c>
      <c r="D900" s="4">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39</v>
      </c>
      <c r="D901" s="4">
        <v>70000</v>
      </c>
      <c r="E901">
        <v>5</v>
      </c>
      <c r="F901" t="s">
        <v>31</v>
      </c>
      <c r="G901" t="s">
        <v>21</v>
      </c>
      <c r="H901" t="s">
        <v>15</v>
      </c>
      <c r="I901">
        <v>3</v>
      </c>
      <c r="J901" t="s">
        <v>49</v>
      </c>
      <c r="K901" t="s">
        <v>32</v>
      </c>
      <c r="L901">
        <v>46</v>
      </c>
      <c r="M901" t="str">
        <f t="shared" si="14"/>
        <v>Middle Aged</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4">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4">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4">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4">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4">
        <v>70000</v>
      </c>
      <c r="E932">
        <v>5</v>
      </c>
      <c r="F932" t="s">
        <v>31</v>
      </c>
      <c r="G932" t="s">
        <v>21</v>
      </c>
      <c r="H932" t="s">
        <v>18</v>
      </c>
      <c r="I932">
        <v>3</v>
      </c>
      <c r="J932" t="s">
        <v>49</v>
      </c>
      <c r="K932" t="s">
        <v>32</v>
      </c>
      <c r="L932">
        <v>47</v>
      </c>
      <c r="M932" t="str">
        <f t="shared" si="14"/>
        <v>Middle Aged</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4">
        <v>70000</v>
      </c>
      <c r="E951">
        <v>2</v>
      </c>
      <c r="F951" t="s">
        <v>29</v>
      </c>
      <c r="G951" t="s">
        <v>14</v>
      </c>
      <c r="H951" t="s">
        <v>15</v>
      </c>
      <c r="I951">
        <v>2</v>
      </c>
      <c r="J951" t="s">
        <v>49</v>
      </c>
      <c r="K951" t="s">
        <v>32</v>
      </c>
      <c r="L951">
        <v>53</v>
      </c>
      <c r="M951" t="str">
        <f t="shared" si="14"/>
        <v>Middle Aged</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IF(L963&gt;=55,"Old",IF(L963&gt;=31,"Middle Aged",IF(L963&lt;31,"Adolscent","Invalid")))</f>
        <v>Old</v>
      </c>
      <c r="N963" t="s">
        <v>18</v>
      </c>
    </row>
    <row r="964" spans="1:14" x14ac:dyDescent="0.3">
      <c r="A964">
        <v>16813</v>
      </c>
      <c r="B964" t="s">
        <v>36</v>
      </c>
      <c r="C964" t="s">
        <v>38</v>
      </c>
      <c r="D964" s="4">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4">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4">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4">
        <v>80000</v>
      </c>
      <c r="E982">
        <v>3</v>
      </c>
      <c r="F982" t="s">
        <v>13</v>
      </c>
      <c r="G982" t="s">
        <v>14</v>
      </c>
      <c r="H982" t="s">
        <v>15</v>
      </c>
      <c r="I982">
        <v>3</v>
      </c>
      <c r="J982" t="s">
        <v>49</v>
      </c>
      <c r="K982" t="s">
        <v>32</v>
      </c>
      <c r="L982">
        <v>40</v>
      </c>
      <c r="M982" t="str">
        <f t="shared" si="15"/>
        <v>Middle Aged</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4">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39</v>
      </c>
      <c r="D989" s="4">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38</v>
      </c>
      <c r="D990" s="4">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38</v>
      </c>
      <c r="D991" s="4">
        <v>60000</v>
      </c>
      <c r="E991">
        <v>4</v>
      </c>
      <c r="F991" t="s">
        <v>13</v>
      </c>
      <c r="G991" t="s">
        <v>14</v>
      </c>
      <c r="H991" t="s">
        <v>18</v>
      </c>
      <c r="I991">
        <v>3</v>
      </c>
      <c r="J991" t="s">
        <v>49</v>
      </c>
      <c r="K991" t="s">
        <v>32</v>
      </c>
      <c r="L991">
        <v>42</v>
      </c>
      <c r="M991" t="str">
        <f t="shared" si="15"/>
        <v>Middle Aged</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4">
        <v>60000</v>
      </c>
      <c r="E1001">
        <v>3</v>
      </c>
      <c r="F1001" t="s">
        <v>27</v>
      </c>
      <c r="G1001" t="s">
        <v>21</v>
      </c>
      <c r="H1001" t="s">
        <v>15</v>
      </c>
      <c r="I1001">
        <v>2</v>
      </c>
      <c r="J1001" t="s">
        <v>49</v>
      </c>
      <c r="K1001" t="s">
        <v>32</v>
      </c>
      <c r="L1001">
        <v>53</v>
      </c>
      <c r="M1001" t="str">
        <f t="shared" si="15"/>
        <v>Middle Aged</v>
      </c>
      <c r="N1001" t="s">
        <v>15</v>
      </c>
    </row>
  </sheetData>
  <autoFilter ref="A1:N1001" xr:uid="{A133D8DB-0055-429D-8D8E-17C568A3C08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5506-0F66-4267-A8F1-4EA8DC9258B6}">
  <dimension ref="A3:D52"/>
  <sheetViews>
    <sheetView topLeftCell="A18" zoomScale="130" zoomScaleNormal="130" workbookViewId="0">
      <selection activeCell="U53" sqref="U53"/>
    </sheetView>
  </sheetViews>
  <sheetFormatPr defaultRowHeight="14.4" x14ac:dyDescent="0.3"/>
  <cols>
    <col min="1" max="1" width="21.88671875" bestFit="1" customWidth="1"/>
    <col min="2" max="2" width="15.5546875" bestFit="1" customWidth="1"/>
    <col min="3" max="3" width="4" bestFit="1" customWidth="1"/>
    <col min="4" max="4" width="10.88671875" bestFit="1" customWidth="1"/>
  </cols>
  <sheetData>
    <row r="3" spans="1:4" x14ac:dyDescent="0.3">
      <c r="A3" s="5" t="s">
        <v>43</v>
      </c>
      <c r="B3" s="5" t="s">
        <v>44</v>
      </c>
    </row>
    <row r="4" spans="1:4" x14ac:dyDescent="0.3">
      <c r="A4" s="5" t="s">
        <v>41</v>
      </c>
      <c r="B4" t="s">
        <v>18</v>
      </c>
      <c r="C4" t="s">
        <v>15</v>
      </c>
      <c r="D4" t="s">
        <v>42</v>
      </c>
    </row>
    <row r="5" spans="1:4" x14ac:dyDescent="0.3">
      <c r="A5" s="6" t="s">
        <v>39</v>
      </c>
      <c r="B5" s="3">
        <v>53440</v>
      </c>
      <c r="C5" s="3">
        <v>55774.058577405856</v>
      </c>
      <c r="D5" s="3">
        <v>54580.777096114522</v>
      </c>
    </row>
    <row r="6" spans="1:4" x14ac:dyDescent="0.3">
      <c r="A6" s="6" t="s">
        <v>38</v>
      </c>
      <c r="B6" s="3">
        <v>56208.178438661707</v>
      </c>
      <c r="C6" s="3">
        <v>60123.966942148763</v>
      </c>
      <c r="D6" s="3">
        <v>58062.62230919765</v>
      </c>
    </row>
    <row r="7" spans="1:4" x14ac:dyDescent="0.3">
      <c r="A7" s="6" t="s">
        <v>42</v>
      </c>
      <c r="B7" s="3">
        <v>54874.759152215796</v>
      </c>
      <c r="C7" s="3">
        <v>57962.577962577961</v>
      </c>
      <c r="D7" s="3">
        <v>56360</v>
      </c>
    </row>
    <row r="28" spans="1:4" x14ac:dyDescent="0.3">
      <c r="A28" s="5" t="s">
        <v>48</v>
      </c>
      <c r="B28" s="5" t="s">
        <v>44</v>
      </c>
    </row>
    <row r="29" spans="1:4" x14ac:dyDescent="0.3">
      <c r="A29" s="5" t="s">
        <v>41</v>
      </c>
      <c r="B29" t="s">
        <v>18</v>
      </c>
      <c r="C29" t="s">
        <v>15</v>
      </c>
      <c r="D29" t="s">
        <v>42</v>
      </c>
    </row>
    <row r="30" spans="1:4" x14ac:dyDescent="0.3">
      <c r="A30" s="6" t="s">
        <v>16</v>
      </c>
      <c r="B30" s="7">
        <v>166</v>
      </c>
      <c r="C30" s="7">
        <v>200</v>
      </c>
      <c r="D30" s="7">
        <v>366</v>
      </c>
    </row>
    <row r="31" spans="1:4" x14ac:dyDescent="0.3">
      <c r="A31" s="6" t="s">
        <v>26</v>
      </c>
      <c r="B31" s="7">
        <v>92</v>
      </c>
      <c r="C31" s="7">
        <v>77</v>
      </c>
      <c r="D31" s="7">
        <v>169</v>
      </c>
    </row>
    <row r="32" spans="1:4" x14ac:dyDescent="0.3">
      <c r="A32" s="6" t="s">
        <v>22</v>
      </c>
      <c r="B32" s="7">
        <v>67</v>
      </c>
      <c r="C32" s="7">
        <v>95</v>
      </c>
      <c r="D32" s="7">
        <v>162</v>
      </c>
    </row>
    <row r="33" spans="1:4" x14ac:dyDescent="0.3">
      <c r="A33" s="6" t="s">
        <v>23</v>
      </c>
      <c r="B33" s="7">
        <v>116</v>
      </c>
      <c r="C33" s="7">
        <v>76</v>
      </c>
      <c r="D33" s="7">
        <v>192</v>
      </c>
    </row>
    <row r="34" spans="1:4" x14ac:dyDescent="0.3">
      <c r="A34" s="6" t="s">
        <v>49</v>
      </c>
      <c r="B34" s="7">
        <v>78</v>
      </c>
      <c r="C34" s="7">
        <v>33</v>
      </c>
      <c r="D34" s="7">
        <v>111</v>
      </c>
    </row>
    <row r="35" spans="1:4" x14ac:dyDescent="0.3">
      <c r="A35" s="6" t="s">
        <v>42</v>
      </c>
      <c r="B35" s="7">
        <v>519</v>
      </c>
      <c r="C35" s="7">
        <v>481</v>
      </c>
      <c r="D35" s="7">
        <v>1000</v>
      </c>
    </row>
    <row r="47" spans="1:4" x14ac:dyDescent="0.3">
      <c r="A47" s="5" t="s">
        <v>48</v>
      </c>
      <c r="B47" s="5" t="s">
        <v>44</v>
      </c>
    </row>
    <row r="48" spans="1:4" x14ac:dyDescent="0.3">
      <c r="A48" s="5" t="s">
        <v>41</v>
      </c>
      <c r="B48" t="s">
        <v>18</v>
      </c>
      <c r="C48" t="s">
        <v>15</v>
      </c>
      <c r="D48" t="s">
        <v>42</v>
      </c>
    </row>
    <row r="49" spans="1:4" x14ac:dyDescent="0.3">
      <c r="A49" s="6" t="s">
        <v>46</v>
      </c>
      <c r="B49" s="7">
        <v>71</v>
      </c>
      <c r="C49" s="7">
        <v>39</v>
      </c>
      <c r="D49" s="7">
        <v>110</v>
      </c>
    </row>
    <row r="50" spans="1:4" x14ac:dyDescent="0.3">
      <c r="A50" s="6" t="s">
        <v>45</v>
      </c>
      <c r="B50" s="7">
        <v>318</v>
      </c>
      <c r="C50" s="7">
        <v>383</v>
      </c>
      <c r="D50" s="7">
        <v>701</v>
      </c>
    </row>
    <row r="51" spans="1:4" x14ac:dyDescent="0.3">
      <c r="A51" s="6" t="s">
        <v>47</v>
      </c>
      <c r="B51" s="7">
        <v>130</v>
      </c>
      <c r="C51" s="7">
        <v>59</v>
      </c>
      <c r="D51" s="7">
        <v>189</v>
      </c>
    </row>
    <row r="52" spans="1:4" x14ac:dyDescent="0.3">
      <c r="A52" s="6" t="s">
        <v>42</v>
      </c>
      <c r="B52" s="7">
        <v>519</v>
      </c>
      <c r="C52" s="7">
        <v>481</v>
      </c>
      <c r="D52"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D2B3-504E-4FAC-93B1-FB3BD65ED2F4}">
  <dimension ref="A1:Y28"/>
  <sheetViews>
    <sheetView showGridLines="0" tabSelected="1" zoomScaleNormal="100" workbookViewId="0">
      <selection activeCell="U22" sqref="U22"/>
    </sheetView>
  </sheetViews>
  <sheetFormatPr defaultRowHeight="14.4" x14ac:dyDescent="0.3"/>
  <sheetData>
    <row r="1" spans="1:15" ht="14.4" customHeight="1" x14ac:dyDescent="0.3">
      <c r="A1" s="8" t="s">
        <v>50</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ht="14.4" customHeight="1" x14ac:dyDescent="0.3">
      <c r="A5" s="8"/>
      <c r="B5" s="8"/>
      <c r="C5" s="8"/>
      <c r="D5" s="8"/>
      <c r="E5" s="8"/>
      <c r="F5" s="8"/>
      <c r="G5" s="8"/>
      <c r="H5" s="8"/>
      <c r="I5" s="8"/>
      <c r="J5" s="8"/>
      <c r="K5" s="8"/>
      <c r="L5" s="8"/>
      <c r="M5" s="8"/>
      <c r="N5" s="8"/>
      <c r="O5" s="8"/>
    </row>
    <row r="6" spans="1:15" ht="14.4" customHeight="1" x14ac:dyDescent="0.3">
      <c r="A6" s="8"/>
      <c r="B6" s="8"/>
      <c r="C6" s="8"/>
      <c r="D6" s="8"/>
      <c r="E6" s="8"/>
      <c r="F6" s="8"/>
      <c r="G6" s="8"/>
      <c r="H6" s="8"/>
      <c r="I6" s="8"/>
      <c r="J6" s="8"/>
      <c r="K6" s="8"/>
      <c r="L6" s="8"/>
      <c r="M6" s="8"/>
      <c r="N6" s="8"/>
      <c r="O6" s="8"/>
    </row>
    <row r="22" spans="21:25" x14ac:dyDescent="0.3">
      <c r="Y22" t="s">
        <v>52</v>
      </c>
    </row>
    <row r="28" spans="21:25" x14ac:dyDescent="0.3">
      <c r="U28" t="s">
        <v>51</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NISHANT KUMAR</cp:lastModifiedBy>
  <dcterms:created xsi:type="dcterms:W3CDTF">2022-03-18T02:50:57Z</dcterms:created>
  <dcterms:modified xsi:type="dcterms:W3CDTF">2025-12-22T05:41:07Z</dcterms:modified>
</cp:coreProperties>
</file>